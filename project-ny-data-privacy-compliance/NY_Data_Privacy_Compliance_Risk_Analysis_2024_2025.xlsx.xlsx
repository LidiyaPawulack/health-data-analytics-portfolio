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13aad7e3f56f28/Documents/Data Analytics/"/>
    </mc:Choice>
  </mc:AlternateContent>
  <xr:revisionPtr revIDLastSave="252" documentId="8_{0C827733-1E6A-4F2C-ABE6-EA16B942263C}" xr6:coauthVersionLast="47" xr6:coauthVersionMax="47" xr10:uidLastSave="{96409B2F-7766-443C-A6D1-BB84FE3788DB}"/>
  <bookViews>
    <workbookView xWindow="-120" yWindow="-120" windowWidth="23280" windowHeight="14880" xr2:uid="{0ECE82FA-2DAC-463A-A2CF-6395A7E365E8}"/>
  </bookViews>
  <sheets>
    <sheet name="Raw Data" sheetId="1" r:id="rId1"/>
    <sheet name="Cleaned Data" sheetId="2" r:id="rId2"/>
    <sheet name="Anaylsis" sheetId="3" r:id="rId3"/>
    <sheet name="Visuals" sheetId="4" r:id="rId4"/>
    <sheet name="Insights_Summary" sheetId="6" r:id="rId5"/>
  </sheets>
  <definedNames>
    <definedName name="_xlnm._FilterDatabase" localSheetId="1" hidden="1">'Cleaned Data'!$A$1:$J$45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2" i="2"/>
</calcChain>
</file>

<file path=xl/sharedStrings.xml><?xml version="1.0" encoding="utf-8"?>
<sst xmlns="http://schemas.openxmlformats.org/spreadsheetml/2006/main" count="539" uniqueCount="77">
  <si>
    <t>Name of Covered Entity</t>
  </si>
  <si>
    <t>State</t>
  </si>
  <si>
    <t>Covered Entity Type</t>
  </si>
  <si>
    <t>Individuals Affected</t>
  </si>
  <si>
    <t>Breach Submission Date</t>
  </si>
  <si>
    <t>Type of Breach</t>
  </si>
  <si>
    <t>Location of Breached Information</t>
  </si>
  <si>
    <t>Business Associate Present</t>
  </si>
  <si>
    <t>Web Description</t>
  </si>
  <si>
    <t>Associated Radiologists of the Finger Lakes, P.C.</t>
  </si>
  <si>
    <t>NY</t>
  </si>
  <si>
    <t>Business Associate</t>
  </si>
  <si>
    <t>Hacking/IT Incident</t>
  </si>
  <si>
    <t>Network Server</t>
  </si>
  <si>
    <t>Yes</t>
  </si>
  <si>
    <t>Fieldtex Products, Inc.</t>
  </si>
  <si>
    <t>St. Johnâ€™s Riverside Hospital</t>
  </si>
  <si>
    <t>Healthcare Provider</t>
  </si>
  <si>
    <t>Email</t>
  </si>
  <si>
    <t>No</t>
  </si>
  <si>
    <t xml:space="preserve">Steven J. Pearlman MD PC </t>
  </si>
  <si>
    <t>Weekend Health, LLC</t>
  </si>
  <si>
    <t>Unauthorized Access/Disclosure</t>
  </si>
  <si>
    <t>Superior Vision Services, Inc.</t>
  </si>
  <si>
    <t>Thomas Davies, DPM</t>
  </si>
  <si>
    <t>Electronic Medical Record</t>
  </si>
  <si>
    <t xml:space="preserve">Anthony L. Jordan Health Corporation </t>
  </si>
  <si>
    <t>College Hometown Pharmacy</t>
  </si>
  <si>
    <t>College Parkside Pharmacy</t>
  </si>
  <si>
    <t>Independent Health Association, Inc.</t>
  </si>
  <si>
    <t>Health Plan</t>
  </si>
  <si>
    <t>Other</t>
  </si>
  <si>
    <t>CareTracker, Inc.</t>
  </si>
  <si>
    <t>Center for Disability Services, Inc.</t>
  </si>
  <si>
    <t xml:space="preserve">MDLand International Corporation </t>
  </si>
  <si>
    <t>Infinite Services, Inc.</t>
  </si>
  <si>
    <t>Human Development Services of Westchester</t>
  </si>
  <si>
    <t>Kelley Drye &amp; Warren LLP</t>
  </si>
  <si>
    <t>NYC Health + Hospitals</t>
  </si>
  <si>
    <t>The Smith Institute for Urology</t>
  </si>
  <si>
    <t>Desktop Computer</t>
  </si>
  <si>
    <t>NHPP Physical Medicine and Rehabilitation</t>
  </si>
  <si>
    <t>Sports Physical Therapy, Occupational Therapy and Rehabilitation Services of the North Shore, P.L.L.C</t>
  </si>
  <si>
    <t>North Shore University Hospital Sleep Disorders Center</t>
  </si>
  <si>
    <t>Allegany Council on Alcoholism &amp; Substance Abuse, Inc.</t>
  </si>
  <si>
    <t>Liberty Resources, Inc.</t>
  </si>
  <si>
    <t>Somnia, Inc.</t>
  </si>
  <si>
    <t>University Diagnostic Medical Imaging, PC</t>
  </si>
  <si>
    <t>Buffalo Surgery Center</t>
  </si>
  <si>
    <t>Richmond University Medical Center</t>
  </si>
  <si>
    <t>Maternal Fetal Medicine Associates, PLLC, Carnegie Hill Imaging for Women, and Carnegie Womenâ€™s Health (collectively, â€œthe Practicesâ€)</t>
  </si>
  <si>
    <t>Mohawk Valley Cardiology, P.C.</t>
  </si>
  <si>
    <t>Advanced Recovery Equipment &amp; Supplies, LLC</t>
  </si>
  <si>
    <t>ATSG, Inc</t>
  </si>
  <si>
    <t>Excelsior Orthopaedics, LLC</t>
  </si>
  <si>
    <t>Gramercy Surgery Center, Inc.</t>
  </si>
  <si>
    <t>M&amp;D Capital Premier Billing LLC</t>
  </si>
  <si>
    <t>A5 PHARMACY INC.</t>
  </si>
  <si>
    <t xml:space="preserve">UNITE HERE </t>
  </si>
  <si>
    <t>Claxton-Hepburn Medical Center</t>
  </si>
  <si>
    <t>Aspen Dental Management, Inc.</t>
  </si>
  <si>
    <t>TAG Urgent Care Support Services, LLC</t>
  </si>
  <si>
    <t>Entity_Name</t>
  </si>
  <si>
    <t>Entity Type</t>
  </si>
  <si>
    <t>Records Affected</t>
  </si>
  <si>
    <t>Breach Date</t>
  </si>
  <si>
    <t>Breach_Type</t>
  </si>
  <si>
    <t>Breach_Location</t>
  </si>
  <si>
    <t>Business_Associate</t>
  </si>
  <si>
    <t>Description</t>
  </si>
  <si>
    <t>Year</t>
  </si>
  <si>
    <t>Row Labels</t>
  </si>
  <si>
    <t>Grand Total</t>
  </si>
  <si>
    <t>Count of Breach Date</t>
  </si>
  <si>
    <t>Key Findings: New York Data Privacy &amp; Compliance Risk (2024–2025)</t>
  </si>
  <si>
    <t>Incident volume increased substantially from 2024 to 2025, driven primarily by a rise in Hacking/IT Incidents.
While Unauthorized Access/Disclosure incidents remained lower in absolute count, their presence increased in 2025, indicating a diversification of compliance risk vectors.
These findings suggest growing cybersecurity exposure within healthcare entities in New York, reinforcing the need for strengthened IT security controls and compliance monitoring.</t>
  </si>
  <si>
    <t>Methods Used: Data Cleaning, SQL-derived fields, Pivot Tables &amp; aggregration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</si>
</sst>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[NY_Data_Privacy_Compliance_Risk_Analysis.xlsx]Anaylsis!PivotTable1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Privacy Incidents by Type in New York (2024-2025)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Anaylsis!$B$1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Anaylsis!$A$2:$A$8</c:f>
              <c:multiLvlStrCache>
                <c:ptCount val="4"/>
                <c:lvl>
                  <c:pt idx="0">
                    <c:v>Hacking/IT Incident</c:v>
                  </c:pt>
                  <c:pt idx="1">
                    <c:v>Unauthorized Access/Disclosure</c:v>
                  </c:pt>
                  <c:pt idx="2">
                    <c:v>Hacking/IT Incident</c:v>
                  </c:pt>
                  <c:pt idx="3">
                    <c:v>Unauthorized Access/Disclosure</c:v>
                  </c:pt>
                </c:lvl>
                <c:lvl>
                  <c:pt idx="0">
                    <c:v>2024</c:v>
                  </c:pt>
                  <c:pt idx="2">
                    <c:v>2025</c:v>
                  </c:pt>
                </c:lvl>
              </c:multiLvlStrCache>
            </c:multiLvlStrRef>
          </c:cat>
          <c:val>
            <c:numRef>
              <c:f>Anaylsis!$B$2:$B$8</c:f>
              <c:numCache>
                <c:formatCode>General</c:formatCode>
                <c:ptCount val="4"/>
                <c:pt idx="0">
                  <c:v>9</c:v>
                </c:pt>
                <c:pt idx="1">
                  <c:v>1</c:v>
                </c:pt>
                <c:pt idx="2">
                  <c:v>25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9-4EB7-8254-23E449E07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8105760"/>
        <c:axId val="1768104800"/>
      </c:barChart>
      <c:catAx>
        <c:axId val="176810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04800"/>
        <c:crosses val="autoZero"/>
        <c:auto val="1"/>
        <c:lblAlgn val="ctr"/>
        <c:lblOffset val="100"/>
        <c:noMultiLvlLbl val="0"/>
      </c:catAx>
      <c:valAx>
        <c:axId val="176810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0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9524</xdr:rowOff>
    </xdr:from>
    <xdr:to>
      <xdr:col>7</xdr:col>
      <xdr:colOff>600074</xdr:colOff>
      <xdr:row>14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AA502-204B-4553-A810-AEE7516C4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diya" refreshedDate="46049.692252430556" createdVersion="8" refreshedVersion="8" minRefreshableVersion="3" recordCount="41" xr:uid="{56805B0E-E99D-4459-9939-311D598FD0E2}">
  <cacheSource type="worksheet">
    <worksheetSource ref="A1:J42" sheet="Cleaned Data"/>
  </cacheSource>
  <cacheFields count="10">
    <cacheField name="Entity_Name" numFmtId="0">
      <sharedItems/>
    </cacheField>
    <cacheField name="State" numFmtId="0">
      <sharedItems/>
    </cacheField>
    <cacheField name="Entity Type" numFmtId="0">
      <sharedItems/>
    </cacheField>
    <cacheField name="Records Affected" numFmtId="0">
      <sharedItems containsSemiMixedTypes="0" containsString="0" containsNumber="1" containsInteger="1" minValue="501" maxValue="909469"/>
    </cacheField>
    <cacheField name="Breach Date" numFmtId="14">
      <sharedItems containsSemiMixedTypes="0" containsNonDate="0" containsDate="1" containsString="0" minDate="2024-02-23T00:00:00" maxDate="2025-12-30T00:00:00"/>
    </cacheField>
    <cacheField name="Year" numFmtId="0">
      <sharedItems containsSemiMixedTypes="0" containsString="0" containsNumber="1" containsInteger="1" minValue="2024" maxValue="2025" count="2">
        <n v="2025"/>
        <n v="2024"/>
      </sharedItems>
    </cacheField>
    <cacheField name="Breach_Type" numFmtId="0">
      <sharedItems count="2">
        <s v="Hacking/IT Incident"/>
        <s v="Unauthorized Access/Disclosure"/>
      </sharedItems>
    </cacheField>
    <cacheField name="Breach_Location" numFmtId="0">
      <sharedItems/>
    </cacheField>
    <cacheField name="Business_Associate" numFmtId="0">
      <sharedItems/>
    </cacheField>
    <cacheField name="Descript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Associated Radiologists of the Finger Lakes, P.C."/>
    <s v="NY"/>
    <s v="Business Associate"/>
    <n v="501"/>
    <d v="2025-12-29T00:00:00"/>
    <x v="0"/>
    <x v="0"/>
    <s v="Network Server"/>
    <s v="Yes"/>
    <m/>
  </r>
  <r>
    <s v="Fieldtex Products, Inc."/>
    <s v="NY"/>
    <s v="Business Associate"/>
    <n v="104071"/>
    <d v="2025-12-12T00:00:00"/>
    <x v="0"/>
    <x v="0"/>
    <s v="Network Server"/>
    <s v="Yes"/>
    <m/>
  </r>
  <r>
    <s v="Fieldtex Products, Inc."/>
    <s v="NY"/>
    <s v="Business Associate"/>
    <n v="5901"/>
    <d v="2025-12-03T00:00:00"/>
    <x v="0"/>
    <x v="0"/>
    <s v="Network Server"/>
    <s v="Yes"/>
    <m/>
  </r>
  <r>
    <s v="Fieldtex Products, Inc."/>
    <s v="NY"/>
    <s v="Business Associate"/>
    <n v="9206"/>
    <d v="2025-12-03T00:00:00"/>
    <x v="0"/>
    <x v="0"/>
    <s v="Network Server"/>
    <s v="Yes"/>
    <m/>
  </r>
  <r>
    <s v="Fieldtex Products, Inc."/>
    <s v="NY"/>
    <s v="Business Associate"/>
    <n v="20641"/>
    <d v="2025-12-03T00:00:00"/>
    <x v="0"/>
    <x v="0"/>
    <s v="Network Server"/>
    <s v="Yes"/>
    <m/>
  </r>
  <r>
    <s v="Fieldtex Products, Inc."/>
    <s v="NY"/>
    <s v="Business Associate"/>
    <n v="238615"/>
    <d v="2025-11-20T00:00:00"/>
    <x v="0"/>
    <x v="0"/>
    <s v="Network Server"/>
    <s v="Yes"/>
    <m/>
  </r>
  <r>
    <s v="St. Johnâ€™s Riverside Hospital"/>
    <s v="NY"/>
    <s v="Healthcare Provider"/>
    <n v="2238"/>
    <d v="2025-11-14T00:00:00"/>
    <x v="0"/>
    <x v="0"/>
    <s v="Email"/>
    <s v="No"/>
    <m/>
  </r>
  <r>
    <s v="Steven J. Pearlman MD PC "/>
    <s v="NY"/>
    <s v="Healthcare Provider"/>
    <n v="10182"/>
    <d v="2025-11-09T00:00:00"/>
    <x v="0"/>
    <x v="0"/>
    <s v="Network Server"/>
    <s v="No"/>
    <m/>
  </r>
  <r>
    <s v="Weekend Health, LLC"/>
    <s v="NY"/>
    <s v="Business Associate"/>
    <n v="1643"/>
    <d v="2025-09-30T00:00:00"/>
    <x v="0"/>
    <x v="1"/>
    <s v="Network Server"/>
    <s v="Yes"/>
    <m/>
  </r>
  <r>
    <s v="Superior Vision Services, Inc."/>
    <s v="NY"/>
    <s v="Business Associate"/>
    <n v="25341"/>
    <d v="2025-09-29T00:00:00"/>
    <x v="0"/>
    <x v="0"/>
    <s v="Email"/>
    <s v="Yes"/>
    <m/>
  </r>
  <r>
    <s v="Thomas Davies, DPM"/>
    <s v="NY"/>
    <s v="Healthcare Provider"/>
    <n v="14581"/>
    <d v="2025-09-29T00:00:00"/>
    <x v="0"/>
    <x v="0"/>
    <s v="Electronic Medical Record"/>
    <s v="No"/>
    <m/>
  </r>
  <r>
    <s v="Anthony L. Jordan Health Corporation "/>
    <s v="NY"/>
    <s v="Healthcare Provider"/>
    <n v="2974"/>
    <d v="2025-08-29T00:00:00"/>
    <x v="0"/>
    <x v="0"/>
    <s v="Email"/>
    <s v="No"/>
    <m/>
  </r>
  <r>
    <s v="College Hometown Pharmacy"/>
    <s v="NY"/>
    <s v="Healthcare Provider"/>
    <n v="9742"/>
    <d v="2025-08-25T00:00:00"/>
    <x v="0"/>
    <x v="0"/>
    <s v="Network Server"/>
    <s v="No"/>
    <m/>
  </r>
  <r>
    <s v="College Parkside Pharmacy"/>
    <s v="NY"/>
    <s v="Healthcare Provider"/>
    <n v="5736"/>
    <d v="2025-08-25T00:00:00"/>
    <x v="0"/>
    <x v="0"/>
    <s v="Network Server"/>
    <s v="No"/>
    <m/>
  </r>
  <r>
    <s v="Independent Health Association, Inc."/>
    <s v="NY"/>
    <s v="Health Plan"/>
    <n v="637"/>
    <d v="2025-08-22T00:00:00"/>
    <x v="0"/>
    <x v="1"/>
    <s v="Other"/>
    <s v="No"/>
    <m/>
  </r>
  <r>
    <s v="CareTracker, Inc."/>
    <s v="NY"/>
    <s v="Business Associate"/>
    <n v="501"/>
    <d v="2025-08-18T00:00:00"/>
    <x v="0"/>
    <x v="0"/>
    <s v="Network Server"/>
    <s v="Yes"/>
    <m/>
  </r>
  <r>
    <s v="Center for Disability Services, Inc."/>
    <s v="NY"/>
    <s v="Healthcare Provider"/>
    <n v="3343"/>
    <d v="2025-08-08T00:00:00"/>
    <x v="0"/>
    <x v="0"/>
    <s v="Email"/>
    <s v="No"/>
    <m/>
  </r>
  <r>
    <s v="MDLand International Corporation "/>
    <s v="NY"/>
    <s v="Business Associate"/>
    <n v="22586"/>
    <d v="2025-08-04T00:00:00"/>
    <x v="0"/>
    <x v="0"/>
    <s v="Network Server"/>
    <s v="Yes"/>
    <m/>
  </r>
  <r>
    <s v="Infinite Services, Inc."/>
    <s v="NY"/>
    <s v="Healthcare Provider"/>
    <n v="31742"/>
    <d v="2025-07-21T00:00:00"/>
    <x v="0"/>
    <x v="0"/>
    <s v="Network Server"/>
    <s v="No"/>
    <m/>
  </r>
  <r>
    <s v="Human Development Services of Westchester"/>
    <s v="NY"/>
    <s v="Healthcare Provider"/>
    <n v="501"/>
    <d v="2025-07-18T00:00:00"/>
    <x v="0"/>
    <x v="0"/>
    <s v="Email"/>
    <s v="No"/>
    <m/>
  </r>
  <r>
    <s v="Kelley Drye &amp; Warren LLP"/>
    <s v="NY"/>
    <s v="Business Associate"/>
    <n v="771"/>
    <d v="2025-06-12T00:00:00"/>
    <x v="0"/>
    <x v="0"/>
    <s v="Network Server"/>
    <s v="Yes"/>
    <m/>
  </r>
  <r>
    <s v="NYC Health + Hospitals"/>
    <s v="NY"/>
    <s v="Healthcare Provider"/>
    <n v="5728"/>
    <d v="2025-06-06T00:00:00"/>
    <x v="0"/>
    <x v="0"/>
    <s v="Network Server"/>
    <s v="Yes"/>
    <m/>
  </r>
  <r>
    <s v="The Smith Institute for Urology"/>
    <s v="NY"/>
    <s v="Healthcare Provider"/>
    <n v="2263"/>
    <d v="2025-05-28T00:00:00"/>
    <x v="0"/>
    <x v="1"/>
    <s v="Desktop Computer"/>
    <s v="No"/>
    <m/>
  </r>
  <r>
    <s v="NHPP Physical Medicine and Rehabilitation"/>
    <s v="NY"/>
    <s v="Healthcare Provider"/>
    <n v="1353"/>
    <d v="2025-05-23T00:00:00"/>
    <x v="0"/>
    <x v="1"/>
    <s v="Other"/>
    <s v="No"/>
    <m/>
  </r>
  <r>
    <s v="Sports Physical Therapy, Occupational Therapy and Rehabilitation Services of the North Shore, P.L.L.C"/>
    <s v="NY"/>
    <s v="Healthcare Provider"/>
    <n v="6195"/>
    <d v="2025-05-23T00:00:00"/>
    <x v="0"/>
    <x v="1"/>
    <s v="Other"/>
    <s v="No"/>
    <m/>
  </r>
  <r>
    <s v="North Shore University Hospital Sleep Disorders Center"/>
    <s v="NY"/>
    <s v="Healthcare Provider"/>
    <n v="13332"/>
    <d v="2025-05-23T00:00:00"/>
    <x v="0"/>
    <x v="1"/>
    <s v="Other"/>
    <s v="No"/>
    <m/>
  </r>
  <r>
    <s v="Allegany Council on Alcoholism &amp; Substance Abuse, Inc."/>
    <s v="NY"/>
    <s v="Healthcare Provider"/>
    <n v="696"/>
    <d v="2025-04-02T00:00:00"/>
    <x v="0"/>
    <x v="0"/>
    <s v="Email"/>
    <s v="No"/>
    <m/>
  </r>
  <r>
    <s v="Liberty Resources, Inc."/>
    <s v="NY"/>
    <s v="Healthcare Provider"/>
    <n v="103711"/>
    <d v="2025-03-04T00:00:00"/>
    <x v="0"/>
    <x v="0"/>
    <s v="Network Server"/>
    <s v="No"/>
    <m/>
  </r>
  <r>
    <s v="Somnia, Inc."/>
    <s v="NY"/>
    <s v="Business Associate"/>
    <n v="19069"/>
    <d v="2025-02-14T00:00:00"/>
    <x v="0"/>
    <x v="0"/>
    <s v="Email"/>
    <s v="Yes"/>
    <m/>
  </r>
  <r>
    <s v="University Diagnostic Medical Imaging, PC"/>
    <s v="NY"/>
    <s v="Healthcare Provider"/>
    <n v="138080"/>
    <d v="2025-01-21T00:00:00"/>
    <x v="0"/>
    <x v="0"/>
    <s v="Network Server"/>
    <s v="No"/>
    <m/>
  </r>
  <r>
    <s v="Buffalo Surgery Center"/>
    <s v="NY"/>
    <s v="Healthcare Provider"/>
    <n v="64000"/>
    <d v="2025-01-04T00:00:00"/>
    <x v="0"/>
    <x v="0"/>
    <s v="Network Server"/>
    <s v="No"/>
    <m/>
  </r>
  <r>
    <s v="Richmond University Medical Center"/>
    <s v="NY"/>
    <s v="Healthcare Provider"/>
    <n v="674033"/>
    <d v="2024-12-19T00:00:00"/>
    <x v="1"/>
    <x v="0"/>
    <s v="Network Server"/>
    <s v="No"/>
    <m/>
  </r>
  <r>
    <s v="Maternal Fetal Medicine Associates, PLLC, Carnegie Hill Imaging for Women, and Carnegie Womenâ€™s Health (collectively, â€œthe Practicesâ€)"/>
    <s v="NY"/>
    <s v="Healthcare Provider"/>
    <n v="501"/>
    <d v="2024-11-15T00:00:00"/>
    <x v="1"/>
    <x v="0"/>
    <s v="Network Server"/>
    <s v="No"/>
    <m/>
  </r>
  <r>
    <s v="Mohawk Valley Cardiology, P.C."/>
    <s v="NY"/>
    <s v="Healthcare Provider"/>
    <n v="4973"/>
    <d v="2024-11-04T00:00:00"/>
    <x v="1"/>
    <x v="1"/>
    <s v="Other"/>
    <s v="No"/>
    <m/>
  </r>
  <r>
    <s v="Advanced Recovery Equipment &amp; Supplies, LLC"/>
    <s v="NY"/>
    <s v="Healthcare Provider"/>
    <n v="56000"/>
    <d v="2024-10-18T00:00:00"/>
    <x v="1"/>
    <x v="0"/>
    <s v="Network Server"/>
    <s v="No"/>
    <m/>
  </r>
  <r>
    <s v="ATSG, Inc"/>
    <s v="NY"/>
    <s v="Business Associate"/>
    <n v="909469"/>
    <d v="2024-10-04T00:00:00"/>
    <x v="1"/>
    <x v="0"/>
    <s v="Network Server"/>
    <s v="Yes"/>
    <m/>
  </r>
  <r>
    <s v="Excelsior Orthopaedics, LLC"/>
    <s v="NY"/>
    <s v="Healthcare Provider"/>
    <n v="292913"/>
    <d v="2024-08-21T00:00:00"/>
    <x v="1"/>
    <x v="0"/>
    <s v="Network Server"/>
    <s v="No"/>
    <m/>
  </r>
  <r>
    <s v="Gramercy Surgery Center, Inc."/>
    <s v="NY"/>
    <s v="Healthcare Provider"/>
    <n v="52372"/>
    <d v="2024-08-09T00:00:00"/>
    <x v="1"/>
    <x v="0"/>
    <s v="Network Server"/>
    <s v="No"/>
    <m/>
  </r>
  <r>
    <s v="M&amp;D Capital Premier Billing LLC"/>
    <s v="NY"/>
    <s v="Business Associate"/>
    <n v="284326"/>
    <d v="2024-03-21T00:00:00"/>
    <x v="1"/>
    <x v="0"/>
    <s v="Network Server"/>
    <s v="Yes"/>
    <m/>
  </r>
  <r>
    <s v="A5 PHARMACY INC."/>
    <s v="NY"/>
    <s v="Healthcare Provider"/>
    <n v="3000"/>
    <d v="2024-03-13T00:00:00"/>
    <x v="1"/>
    <x v="0"/>
    <s v="Network Server"/>
    <s v="No"/>
    <m/>
  </r>
  <r>
    <s v="UNITE HERE "/>
    <s v="NY"/>
    <s v="Business Associate"/>
    <n v="95797"/>
    <d v="2024-02-23T00:00:00"/>
    <x v="1"/>
    <x v="0"/>
    <s v="Network Server"/>
    <s v="Y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B1F2A-66F7-4A26-8AB9-EEE606D3BE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8" firstHeaderRow="1" firstDataRow="1" firstDataCol="1"/>
  <pivotFields count="10">
    <pivotField showAll="0"/>
    <pivotField showAll="0"/>
    <pivotField showAll="0"/>
    <pivotField showAll="0"/>
    <pivotField dataField="1" numFmtId="14" showAll="0"/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2">
    <field x="5"/>
    <field x="6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Breach Date" fld="4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C973-E360-4249-AA05-30FD5236DCF9}">
  <dimension ref="A1:I45"/>
  <sheetViews>
    <sheetView tabSelected="1" workbookViewId="0">
      <selection activeCell="M6" sqref="M6"/>
    </sheetView>
  </sheetViews>
  <sheetFormatPr defaultRowHeight="15" x14ac:dyDescent="0.25"/>
  <cols>
    <col min="1" max="1" width="9.140625" customWidth="1"/>
    <col min="3" max="3" width="9.140625" customWidth="1"/>
    <col min="5" max="5" width="8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501</v>
      </c>
      <c r="E2" s="1">
        <v>46020</v>
      </c>
      <c r="F2" t="s">
        <v>12</v>
      </c>
      <c r="G2" t="s">
        <v>13</v>
      </c>
      <c r="H2" t="s">
        <v>14</v>
      </c>
    </row>
    <row r="3" spans="1:9" x14ac:dyDescent="0.25">
      <c r="A3" t="s">
        <v>15</v>
      </c>
      <c r="B3" t="s">
        <v>10</v>
      </c>
      <c r="C3" t="s">
        <v>11</v>
      </c>
      <c r="D3">
        <v>104071</v>
      </c>
      <c r="E3" s="1">
        <v>46003</v>
      </c>
      <c r="F3" t="s">
        <v>12</v>
      </c>
      <c r="G3" t="s">
        <v>13</v>
      </c>
      <c r="H3" t="s">
        <v>14</v>
      </c>
    </row>
    <row r="4" spans="1:9" x14ac:dyDescent="0.25">
      <c r="A4" t="s">
        <v>15</v>
      </c>
      <c r="B4" t="s">
        <v>10</v>
      </c>
      <c r="C4" t="s">
        <v>11</v>
      </c>
      <c r="D4">
        <v>5901</v>
      </c>
      <c r="E4" s="1">
        <v>45994</v>
      </c>
      <c r="F4" t="s">
        <v>12</v>
      </c>
      <c r="G4" t="s">
        <v>13</v>
      </c>
      <c r="H4" t="s">
        <v>14</v>
      </c>
    </row>
    <row r="5" spans="1:9" x14ac:dyDescent="0.25">
      <c r="A5" t="s">
        <v>15</v>
      </c>
      <c r="B5" t="s">
        <v>10</v>
      </c>
      <c r="C5" t="s">
        <v>11</v>
      </c>
      <c r="D5">
        <v>9206</v>
      </c>
      <c r="E5" s="1">
        <v>45994</v>
      </c>
      <c r="F5" t="s">
        <v>12</v>
      </c>
      <c r="G5" t="s">
        <v>13</v>
      </c>
      <c r="H5" t="s">
        <v>14</v>
      </c>
    </row>
    <row r="6" spans="1:9" x14ac:dyDescent="0.25">
      <c r="A6" t="s">
        <v>15</v>
      </c>
      <c r="B6" t="s">
        <v>10</v>
      </c>
      <c r="C6" t="s">
        <v>11</v>
      </c>
      <c r="D6">
        <v>20641</v>
      </c>
      <c r="E6" s="1">
        <v>45994</v>
      </c>
      <c r="F6" t="s">
        <v>12</v>
      </c>
      <c r="G6" t="s">
        <v>13</v>
      </c>
      <c r="H6" t="s">
        <v>14</v>
      </c>
    </row>
    <row r="7" spans="1:9" x14ac:dyDescent="0.25">
      <c r="A7" t="s">
        <v>15</v>
      </c>
      <c r="B7" t="s">
        <v>10</v>
      </c>
      <c r="C7" t="s">
        <v>11</v>
      </c>
      <c r="D7">
        <v>238615</v>
      </c>
      <c r="E7" s="1">
        <v>45981</v>
      </c>
      <c r="F7" t="s">
        <v>12</v>
      </c>
      <c r="G7" t="s">
        <v>13</v>
      </c>
      <c r="H7" t="s">
        <v>14</v>
      </c>
    </row>
    <row r="8" spans="1:9" x14ac:dyDescent="0.25">
      <c r="A8" t="s">
        <v>16</v>
      </c>
      <c r="B8" t="s">
        <v>10</v>
      </c>
      <c r="C8" t="s">
        <v>17</v>
      </c>
      <c r="D8">
        <v>2238</v>
      </c>
      <c r="E8" s="1">
        <v>45975</v>
      </c>
      <c r="F8" t="s">
        <v>12</v>
      </c>
      <c r="G8" t="s">
        <v>18</v>
      </c>
      <c r="H8" t="s">
        <v>19</v>
      </c>
    </row>
    <row r="9" spans="1:9" x14ac:dyDescent="0.25">
      <c r="A9" t="s">
        <v>20</v>
      </c>
      <c r="B9" t="s">
        <v>10</v>
      </c>
      <c r="C9" t="s">
        <v>17</v>
      </c>
      <c r="D9">
        <v>10182</v>
      </c>
      <c r="E9" s="1">
        <v>45970</v>
      </c>
      <c r="F9" t="s">
        <v>12</v>
      </c>
      <c r="G9" t="s">
        <v>13</v>
      </c>
      <c r="H9" t="s">
        <v>19</v>
      </c>
    </row>
    <row r="10" spans="1:9" x14ac:dyDescent="0.25">
      <c r="A10" t="s">
        <v>21</v>
      </c>
      <c r="B10" t="s">
        <v>10</v>
      </c>
      <c r="C10" t="s">
        <v>11</v>
      </c>
      <c r="D10">
        <v>1643</v>
      </c>
      <c r="E10" s="1">
        <v>45930</v>
      </c>
      <c r="F10" t="s">
        <v>22</v>
      </c>
      <c r="G10" t="s">
        <v>13</v>
      </c>
      <c r="H10" t="s">
        <v>14</v>
      </c>
    </row>
    <row r="11" spans="1:9" x14ac:dyDescent="0.25">
      <c r="A11" t="s">
        <v>23</v>
      </c>
      <c r="B11" t="s">
        <v>10</v>
      </c>
      <c r="C11" t="s">
        <v>11</v>
      </c>
      <c r="D11">
        <v>25341</v>
      </c>
      <c r="E11" s="1">
        <v>45929</v>
      </c>
      <c r="F11" t="s">
        <v>12</v>
      </c>
      <c r="G11" t="s">
        <v>18</v>
      </c>
      <c r="H11" t="s">
        <v>14</v>
      </c>
    </row>
    <row r="12" spans="1:9" x14ac:dyDescent="0.25">
      <c r="A12" t="s">
        <v>24</v>
      </c>
      <c r="B12" t="s">
        <v>10</v>
      </c>
      <c r="C12" t="s">
        <v>17</v>
      </c>
      <c r="D12">
        <v>14581</v>
      </c>
      <c r="E12" s="1">
        <v>45929</v>
      </c>
      <c r="F12" t="s">
        <v>12</v>
      </c>
      <c r="G12" t="s">
        <v>25</v>
      </c>
      <c r="H12" t="s">
        <v>19</v>
      </c>
    </row>
    <row r="13" spans="1:9" x14ac:dyDescent="0.25">
      <c r="A13" t="s">
        <v>26</v>
      </c>
      <c r="B13" t="s">
        <v>10</v>
      </c>
      <c r="C13" t="s">
        <v>17</v>
      </c>
      <c r="D13">
        <v>2974</v>
      </c>
      <c r="E13" s="1">
        <v>45898</v>
      </c>
      <c r="F13" t="s">
        <v>12</v>
      </c>
      <c r="G13" t="s">
        <v>18</v>
      </c>
      <c r="H13" t="s">
        <v>19</v>
      </c>
    </row>
    <row r="14" spans="1:9" x14ac:dyDescent="0.25">
      <c r="A14" t="s">
        <v>27</v>
      </c>
      <c r="B14" t="s">
        <v>10</v>
      </c>
      <c r="C14" t="s">
        <v>17</v>
      </c>
      <c r="D14">
        <v>9742</v>
      </c>
      <c r="E14" s="1">
        <v>45894</v>
      </c>
      <c r="F14" t="s">
        <v>12</v>
      </c>
      <c r="G14" t="s">
        <v>13</v>
      </c>
      <c r="H14" t="s">
        <v>19</v>
      </c>
    </row>
    <row r="15" spans="1:9" x14ac:dyDescent="0.25">
      <c r="A15" t="s">
        <v>28</v>
      </c>
      <c r="B15" t="s">
        <v>10</v>
      </c>
      <c r="C15" t="s">
        <v>17</v>
      </c>
      <c r="D15">
        <v>5736</v>
      </c>
      <c r="E15" s="1">
        <v>45894</v>
      </c>
      <c r="F15" t="s">
        <v>12</v>
      </c>
      <c r="G15" t="s">
        <v>13</v>
      </c>
      <c r="H15" t="s">
        <v>19</v>
      </c>
    </row>
    <row r="16" spans="1:9" x14ac:dyDescent="0.25">
      <c r="A16" t="s">
        <v>29</v>
      </c>
      <c r="B16" t="s">
        <v>10</v>
      </c>
      <c r="C16" t="s">
        <v>30</v>
      </c>
      <c r="D16">
        <v>637</v>
      </c>
      <c r="E16" s="1">
        <v>45891</v>
      </c>
      <c r="F16" t="s">
        <v>22</v>
      </c>
      <c r="G16" t="s">
        <v>31</v>
      </c>
      <c r="H16" t="s">
        <v>19</v>
      </c>
    </row>
    <row r="17" spans="1:8" x14ac:dyDescent="0.25">
      <c r="A17" t="s">
        <v>32</v>
      </c>
      <c r="B17" t="s">
        <v>10</v>
      </c>
      <c r="C17" t="s">
        <v>11</v>
      </c>
      <c r="D17">
        <v>501</v>
      </c>
      <c r="E17" s="1">
        <v>45887</v>
      </c>
      <c r="F17" t="s">
        <v>12</v>
      </c>
      <c r="G17" t="s">
        <v>13</v>
      </c>
      <c r="H17" t="s">
        <v>14</v>
      </c>
    </row>
    <row r="18" spans="1:8" x14ac:dyDescent="0.25">
      <c r="A18" t="s">
        <v>33</v>
      </c>
      <c r="B18" t="s">
        <v>10</v>
      </c>
      <c r="C18" t="s">
        <v>17</v>
      </c>
      <c r="D18">
        <v>3343</v>
      </c>
      <c r="E18" s="1">
        <v>45877</v>
      </c>
      <c r="F18" t="s">
        <v>12</v>
      </c>
      <c r="G18" t="s">
        <v>18</v>
      </c>
      <c r="H18" t="s">
        <v>19</v>
      </c>
    </row>
    <row r="19" spans="1:8" x14ac:dyDescent="0.25">
      <c r="A19" t="s">
        <v>34</v>
      </c>
      <c r="B19" t="s">
        <v>10</v>
      </c>
      <c r="C19" t="s">
        <v>11</v>
      </c>
      <c r="D19">
        <v>22586</v>
      </c>
      <c r="E19" s="1">
        <v>45873</v>
      </c>
      <c r="F19" t="s">
        <v>12</v>
      </c>
      <c r="G19" t="s">
        <v>13</v>
      </c>
      <c r="H19" t="s">
        <v>14</v>
      </c>
    </row>
    <row r="20" spans="1:8" x14ac:dyDescent="0.25">
      <c r="A20" t="s">
        <v>35</v>
      </c>
      <c r="B20" t="s">
        <v>10</v>
      </c>
      <c r="C20" t="s">
        <v>17</v>
      </c>
      <c r="D20">
        <v>31742</v>
      </c>
      <c r="E20" s="1">
        <v>45859</v>
      </c>
      <c r="F20" t="s">
        <v>12</v>
      </c>
      <c r="G20" t="s">
        <v>13</v>
      </c>
      <c r="H20" t="s">
        <v>19</v>
      </c>
    </row>
    <row r="21" spans="1:8" x14ac:dyDescent="0.25">
      <c r="A21" t="s">
        <v>36</v>
      </c>
      <c r="B21" t="s">
        <v>10</v>
      </c>
      <c r="C21" t="s">
        <v>17</v>
      </c>
      <c r="D21">
        <v>501</v>
      </c>
      <c r="E21" s="1">
        <v>45856</v>
      </c>
      <c r="F21" t="s">
        <v>12</v>
      </c>
      <c r="G21" t="s">
        <v>18</v>
      </c>
      <c r="H21" t="s">
        <v>19</v>
      </c>
    </row>
    <row r="22" spans="1:8" x14ac:dyDescent="0.25">
      <c r="A22" t="s">
        <v>37</v>
      </c>
      <c r="B22" t="s">
        <v>10</v>
      </c>
      <c r="C22" t="s">
        <v>11</v>
      </c>
      <c r="D22">
        <v>771</v>
      </c>
      <c r="E22" s="1">
        <v>45820</v>
      </c>
      <c r="F22" t="s">
        <v>12</v>
      </c>
      <c r="G22" t="s">
        <v>13</v>
      </c>
      <c r="H22" t="s">
        <v>14</v>
      </c>
    </row>
    <row r="23" spans="1:8" x14ac:dyDescent="0.25">
      <c r="A23" t="s">
        <v>38</v>
      </c>
      <c r="B23" t="s">
        <v>10</v>
      </c>
      <c r="C23" t="s">
        <v>17</v>
      </c>
      <c r="D23">
        <v>5728</v>
      </c>
      <c r="E23" s="1">
        <v>45814</v>
      </c>
      <c r="F23" t="s">
        <v>12</v>
      </c>
      <c r="G23" t="s">
        <v>13</v>
      </c>
      <c r="H23" t="s">
        <v>14</v>
      </c>
    </row>
    <row r="24" spans="1:8" x14ac:dyDescent="0.25">
      <c r="A24" t="s">
        <v>39</v>
      </c>
      <c r="B24" t="s">
        <v>10</v>
      </c>
      <c r="C24" t="s">
        <v>17</v>
      </c>
      <c r="D24">
        <v>2263</v>
      </c>
      <c r="E24" s="1">
        <v>45805</v>
      </c>
      <c r="F24" t="s">
        <v>22</v>
      </c>
      <c r="G24" t="s">
        <v>40</v>
      </c>
      <c r="H24" t="s">
        <v>19</v>
      </c>
    </row>
    <row r="25" spans="1:8" x14ac:dyDescent="0.25">
      <c r="A25" t="s">
        <v>41</v>
      </c>
      <c r="B25" t="s">
        <v>10</v>
      </c>
      <c r="C25" t="s">
        <v>17</v>
      </c>
      <c r="D25">
        <v>1353</v>
      </c>
      <c r="E25" s="1">
        <v>45800</v>
      </c>
      <c r="F25" t="s">
        <v>22</v>
      </c>
      <c r="G25" t="s">
        <v>31</v>
      </c>
      <c r="H25" t="s">
        <v>19</v>
      </c>
    </row>
    <row r="26" spans="1:8" x14ac:dyDescent="0.25">
      <c r="A26" t="s">
        <v>42</v>
      </c>
      <c r="B26" t="s">
        <v>10</v>
      </c>
      <c r="C26" t="s">
        <v>17</v>
      </c>
      <c r="D26">
        <v>6195</v>
      </c>
      <c r="E26" s="1">
        <v>45800</v>
      </c>
      <c r="F26" t="s">
        <v>22</v>
      </c>
      <c r="G26" t="s">
        <v>31</v>
      </c>
      <c r="H26" t="s">
        <v>19</v>
      </c>
    </row>
    <row r="27" spans="1:8" x14ac:dyDescent="0.25">
      <c r="A27" t="s">
        <v>43</v>
      </c>
      <c r="B27" t="s">
        <v>10</v>
      </c>
      <c r="C27" t="s">
        <v>17</v>
      </c>
      <c r="D27">
        <v>13332</v>
      </c>
      <c r="E27" s="1">
        <v>45800</v>
      </c>
      <c r="F27" t="s">
        <v>22</v>
      </c>
      <c r="G27" t="s">
        <v>31</v>
      </c>
      <c r="H27" t="s">
        <v>19</v>
      </c>
    </row>
    <row r="28" spans="1:8" x14ac:dyDescent="0.25">
      <c r="A28" t="s">
        <v>44</v>
      </c>
      <c r="B28" t="s">
        <v>10</v>
      </c>
      <c r="C28" t="s">
        <v>17</v>
      </c>
      <c r="D28">
        <v>696</v>
      </c>
      <c r="E28" s="1">
        <v>45749</v>
      </c>
      <c r="F28" t="s">
        <v>12</v>
      </c>
      <c r="G28" t="s">
        <v>18</v>
      </c>
      <c r="H28" t="s">
        <v>19</v>
      </c>
    </row>
    <row r="29" spans="1:8" x14ac:dyDescent="0.25">
      <c r="A29" t="s">
        <v>45</v>
      </c>
      <c r="B29" t="s">
        <v>10</v>
      </c>
      <c r="C29" t="s">
        <v>17</v>
      </c>
      <c r="D29">
        <v>103711</v>
      </c>
      <c r="E29" s="1">
        <v>45720</v>
      </c>
      <c r="F29" t="s">
        <v>12</v>
      </c>
      <c r="G29" t="s">
        <v>13</v>
      </c>
      <c r="H29" t="s">
        <v>19</v>
      </c>
    </row>
    <row r="30" spans="1:8" x14ac:dyDescent="0.25">
      <c r="A30" t="s">
        <v>46</v>
      </c>
      <c r="B30" t="s">
        <v>10</v>
      </c>
      <c r="C30" t="s">
        <v>11</v>
      </c>
      <c r="D30">
        <v>19069</v>
      </c>
      <c r="E30" s="1">
        <v>45702</v>
      </c>
      <c r="F30" t="s">
        <v>12</v>
      </c>
      <c r="G30" t="s">
        <v>18</v>
      </c>
      <c r="H30" t="s">
        <v>14</v>
      </c>
    </row>
    <row r="31" spans="1:8" x14ac:dyDescent="0.25">
      <c r="A31" t="s">
        <v>47</v>
      </c>
      <c r="B31" t="s">
        <v>10</v>
      </c>
      <c r="C31" t="s">
        <v>17</v>
      </c>
      <c r="D31">
        <v>138080</v>
      </c>
      <c r="E31" s="1">
        <v>45678</v>
      </c>
      <c r="F31" t="s">
        <v>12</v>
      </c>
      <c r="G31" t="s">
        <v>13</v>
      </c>
      <c r="H31" t="s">
        <v>19</v>
      </c>
    </row>
    <row r="32" spans="1:8" x14ac:dyDescent="0.25">
      <c r="A32" t="s">
        <v>48</v>
      </c>
      <c r="B32" t="s">
        <v>10</v>
      </c>
      <c r="C32" t="s">
        <v>17</v>
      </c>
      <c r="D32">
        <v>64000</v>
      </c>
      <c r="E32" s="1">
        <v>45661</v>
      </c>
      <c r="F32" t="s">
        <v>12</v>
      </c>
      <c r="G32" t="s">
        <v>13</v>
      </c>
      <c r="H32" t="s">
        <v>19</v>
      </c>
    </row>
    <row r="33" spans="1:8" x14ac:dyDescent="0.25">
      <c r="A33" t="s">
        <v>49</v>
      </c>
      <c r="B33" t="s">
        <v>10</v>
      </c>
      <c r="C33" t="s">
        <v>17</v>
      </c>
      <c r="D33">
        <v>674033</v>
      </c>
      <c r="E33" s="1">
        <v>45645</v>
      </c>
      <c r="F33" t="s">
        <v>12</v>
      </c>
      <c r="G33" t="s">
        <v>13</v>
      </c>
      <c r="H33" t="s">
        <v>19</v>
      </c>
    </row>
    <row r="34" spans="1:8" x14ac:dyDescent="0.25">
      <c r="A34" t="s">
        <v>50</v>
      </c>
      <c r="B34" t="s">
        <v>10</v>
      </c>
      <c r="C34" t="s">
        <v>17</v>
      </c>
      <c r="D34">
        <v>501</v>
      </c>
      <c r="E34" s="1">
        <v>45611</v>
      </c>
      <c r="F34" t="s">
        <v>12</v>
      </c>
      <c r="G34" t="s">
        <v>13</v>
      </c>
      <c r="H34" t="s">
        <v>19</v>
      </c>
    </row>
    <row r="35" spans="1:8" x14ac:dyDescent="0.25">
      <c r="A35" t="s">
        <v>51</v>
      </c>
      <c r="B35" t="s">
        <v>10</v>
      </c>
      <c r="C35" t="s">
        <v>17</v>
      </c>
      <c r="D35">
        <v>4973</v>
      </c>
      <c r="E35" s="1">
        <v>45600</v>
      </c>
      <c r="F35" t="s">
        <v>22</v>
      </c>
      <c r="G35" t="s">
        <v>31</v>
      </c>
      <c r="H35" t="s">
        <v>19</v>
      </c>
    </row>
    <row r="36" spans="1:8" x14ac:dyDescent="0.25">
      <c r="A36" t="s">
        <v>52</v>
      </c>
      <c r="B36" t="s">
        <v>10</v>
      </c>
      <c r="C36" t="s">
        <v>17</v>
      </c>
      <c r="D36">
        <v>56000</v>
      </c>
      <c r="E36" s="1">
        <v>45583</v>
      </c>
      <c r="F36" t="s">
        <v>12</v>
      </c>
      <c r="G36" t="s">
        <v>13</v>
      </c>
      <c r="H36" t="s">
        <v>19</v>
      </c>
    </row>
    <row r="37" spans="1:8" x14ac:dyDescent="0.25">
      <c r="A37" t="s">
        <v>53</v>
      </c>
      <c r="B37" t="s">
        <v>10</v>
      </c>
      <c r="C37" t="s">
        <v>11</v>
      </c>
      <c r="D37">
        <v>909469</v>
      </c>
      <c r="E37" s="1">
        <v>45569</v>
      </c>
      <c r="F37" t="s">
        <v>12</v>
      </c>
      <c r="G37" t="s">
        <v>13</v>
      </c>
      <c r="H37" t="s">
        <v>14</v>
      </c>
    </row>
    <row r="38" spans="1:8" x14ac:dyDescent="0.25">
      <c r="A38" t="s">
        <v>54</v>
      </c>
      <c r="B38" t="s">
        <v>10</v>
      </c>
      <c r="C38" t="s">
        <v>17</v>
      </c>
      <c r="D38">
        <v>292913</v>
      </c>
      <c r="E38" s="1">
        <v>45525</v>
      </c>
      <c r="F38" t="s">
        <v>12</v>
      </c>
      <c r="G38" t="s">
        <v>13</v>
      </c>
      <c r="H38" t="s">
        <v>19</v>
      </c>
    </row>
    <row r="39" spans="1:8" x14ac:dyDescent="0.25">
      <c r="A39" t="s">
        <v>55</v>
      </c>
      <c r="B39" t="s">
        <v>10</v>
      </c>
      <c r="C39" t="s">
        <v>17</v>
      </c>
      <c r="D39">
        <v>52372</v>
      </c>
      <c r="E39" s="1">
        <v>45513</v>
      </c>
      <c r="F39" t="s">
        <v>12</v>
      </c>
      <c r="G39" t="s">
        <v>13</v>
      </c>
      <c r="H39" t="s">
        <v>19</v>
      </c>
    </row>
    <row r="40" spans="1:8" x14ac:dyDescent="0.25">
      <c r="A40" t="s">
        <v>56</v>
      </c>
      <c r="B40" t="s">
        <v>10</v>
      </c>
      <c r="C40" t="s">
        <v>11</v>
      </c>
      <c r="D40">
        <v>284326</v>
      </c>
      <c r="E40" s="1">
        <v>45372</v>
      </c>
      <c r="F40" t="s">
        <v>12</v>
      </c>
      <c r="G40" t="s">
        <v>13</v>
      </c>
      <c r="H40" t="s">
        <v>14</v>
      </c>
    </row>
    <row r="41" spans="1:8" x14ac:dyDescent="0.25">
      <c r="A41" t="s">
        <v>57</v>
      </c>
      <c r="B41" t="s">
        <v>10</v>
      </c>
      <c r="C41" t="s">
        <v>17</v>
      </c>
      <c r="D41">
        <v>3000</v>
      </c>
      <c r="E41" s="1">
        <v>45364</v>
      </c>
      <c r="F41" t="s">
        <v>12</v>
      </c>
      <c r="G41" t="s">
        <v>13</v>
      </c>
      <c r="H41" t="s">
        <v>19</v>
      </c>
    </row>
    <row r="42" spans="1:8" x14ac:dyDescent="0.25">
      <c r="A42" t="s">
        <v>58</v>
      </c>
      <c r="B42" t="s">
        <v>10</v>
      </c>
      <c r="C42" t="s">
        <v>11</v>
      </c>
      <c r="D42">
        <v>95797</v>
      </c>
      <c r="E42" s="1">
        <v>45345</v>
      </c>
      <c r="F42" t="s">
        <v>12</v>
      </c>
      <c r="G42" t="s">
        <v>13</v>
      </c>
      <c r="H42" t="s">
        <v>14</v>
      </c>
    </row>
    <row r="43" spans="1:8" x14ac:dyDescent="0.25">
      <c r="A43" t="s">
        <v>59</v>
      </c>
      <c r="B43" t="s">
        <v>10</v>
      </c>
      <c r="C43" t="s">
        <v>17</v>
      </c>
      <c r="D43">
        <v>757</v>
      </c>
      <c r="E43" s="1">
        <v>45232</v>
      </c>
      <c r="F43" t="s">
        <v>12</v>
      </c>
      <c r="G43" t="s">
        <v>13</v>
      </c>
      <c r="H43" t="s">
        <v>19</v>
      </c>
    </row>
    <row r="44" spans="1:8" x14ac:dyDescent="0.25">
      <c r="A44" t="s">
        <v>60</v>
      </c>
      <c r="B44" t="s">
        <v>10</v>
      </c>
      <c r="C44" t="s">
        <v>11</v>
      </c>
      <c r="D44">
        <v>62183</v>
      </c>
      <c r="E44" s="1">
        <v>45156</v>
      </c>
      <c r="F44" t="s">
        <v>12</v>
      </c>
      <c r="G44" t="s">
        <v>13</v>
      </c>
      <c r="H44" t="s">
        <v>14</v>
      </c>
    </row>
    <row r="45" spans="1:8" x14ac:dyDescent="0.25">
      <c r="A45" t="s">
        <v>61</v>
      </c>
      <c r="B45" t="s">
        <v>10</v>
      </c>
      <c r="C45" t="s">
        <v>11</v>
      </c>
      <c r="D45">
        <v>516985</v>
      </c>
      <c r="E45" s="1">
        <v>45156</v>
      </c>
      <c r="F45" t="s">
        <v>12</v>
      </c>
      <c r="G45" t="s">
        <v>13</v>
      </c>
      <c r="H4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837D-F7B7-4BA5-89BF-71FE0FA72A22}">
  <dimension ref="A1:J45"/>
  <sheetViews>
    <sheetView topLeftCell="A11" zoomScaleNormal="100" workbookViewId="0">
      <selection activeCell="F2" sqref="F2"/>
    </sheetView>
  </sheetViews>
  <sheetFormatPr defaultRowHeight="15" x14ac:dyDescent="0.25"/>
  <cols>
    <col min="1" max="1" width="90.5703125" customWidth="1"/>
    <col min="3" max="3" width="18.5703125" customWidth="1"/>
    <col min="4" max="4" width="15.85546875" customWidth="1"/>
    <col min="5" max="5" width="11.5703125" bestFit="1" customWidth="1"/>
    <col min="6" max="6" width="11.5703125" customWidth="1"/>
    <col min="7" max="7" width="29.28515625" customWidth="1"/>
    <col min="8" max="8" width="17" customWidth="1"/>
    <col min="9" max="9" width="18.28515625" customWidth="1"/>
  </cols>
  <sheetData>
    <row r="1" spans="1:10" x14ac:dyDescent="0.25">
      <c r="A1" t="s">
        <v>62</v>
      </c>
      <c r="B1" t="s">
        <v>1</v>
      </c>
      <c r="C1" t="s">
        <v>63</v>
      </c>
      <c r="D1" t="s">
        <v>64</v>
      </c>
      <c r="E1" t="s">
        <v>65</v>
      </c>
      <c r="F1" t="s">
        <v>70</v>
      </c>
      <c r="G1" t="s">
        <v>66</v>
      </c>
      <c r="H1" t="s">
        <v>67</v>
      </c>
      <c r="I1" t="s">
        <v>68</v>
      </c>
      <c r="J1" t="s">
        <v>69</v>
      </c>
    </row>
    <row r="2" spans="1:10" x14ac:dyDescent="0.25">
      <c r="A2" t="s">
        <v>9</v>
      </c>
      <c r="B2" t="s">
        <v>10</v>
      </c>
      <c r="C2" t="s">
        <v>11</v>
      </c>
      <c r="D2">
        <v>501</v>
      </c>
      <c r="E2" s="1">
        <v>46020</v>
      </c>
      <c r="F2">
        <f>VALUE(RIGHT(TEXT(E2,"mm/dd/yyyy"),4))</f>
        <v>2025</v>
      </c>
      <c r="G2" t="s">
        <v>12</v>
      </c>
      <c r="H2" t="s">
        <v>13</v>
      </c>
      <c r="I2" t="s">
        <v>14</v>
      </c>
    </row>
    <row r="3" spans="1:10" x14ac:dyDescent="0.25">
      <c r="A3" t="s">
        <v>15</v>
      </c>
      <c r="B3" t="s">
        <v>10</v>
      </c>
      <c r="C3" t="s">
        <v>11</v>
      </c>
      <c r="D3">
        <v>104071</v>
      </c>
      <c r="E3" s="1">
        <v>46003</v>
      </c>
      <c r="F3">
        <f t="shared" ref="F3:F42" si="0">VALUE(RIGHT(TEXT(E3,"mm/dd/yyyy"),4))</f>
        <v>2025</v>
      </c>
      <c r="G3" t="s">
        <v>12</v>
      </c>
      <c r="H3" t="s">
        <v>13</v>
      </c>
      <c r="I3" t="s">
        <v>14</v>
      </c>
    </row>
    <row r="4" spans="1:10" x14ac:dyDescent="0.25">
      <c r="A4" t="s">
        <v>15</v>
      </c>
      <c r="B4" t="s">
        <v>10</v>
      </c>
      <c r="C4" t="s">
        <v>11</v>
      </c>
      <c r="D4">
        <v>5901</v>
      </c>
      <c r="E4" s="1">
        <v>45994</v>
      </c>
      <c r="F4">
        <f t="shared" si="0"/>
        <v>2025</v>
      </c>
      <c r="G4" t="s">
        <v>12</v>
      </c>
      <c r="H4" t="s">
        <v>13</v>
      </c>
      <c r="I4" t="s">
        <v>14</v>
      </c>
    </row>
    <row r="5" spans="1:10" x14ac:dyDescent="0.25">
      <c r="A5" t="s">
        <v>15</v>
      </c>
      <c r="B5" t="s">
        <v>10</v>
      </c>
      <c r="C5" t="s">
        <v>11</v>
      </c>
      <c r="D5">
        <v>9206</v>
      </c>
      <c r="E5" s="1">
        <v>45994</v>
      </c>
      <c r="F5">
        <f t="shared" si="0"/>
        <v>2025</v>
      </c>
      <c r="G5" t="s">
        <v>12</v>
      </c>
      <c r="H5" t="s">
        <v>13</v>
      </c>
      <c r="I5" t="s">
        <v>14</v>
      </c>
    </row>
    <row r="6" spans="1:10" x14ac:dyDescent="0.25">
      <c r="A6" t="s">
        <v>15</v>
      </c>
      <c r="B6" t="s">
        <v>10</v>
      </c>
      <c r="C6" t="s">
        <v>11</v>
      </c>
      <c r="D6">
        <v>20641</v>
      </c>
      <c r="E6" s="1">
        <v>45994</v>
      </c>
      <c r="F6">
        <f t="shared" si="0"/>
        <v>2025</v>
      </c>
      <c r="G6" t="s">
        <v>12</v>
      </c>
      <c r="H6" t="s">
        <v>13</v>
      </c>
      <c r="I6" t="s">
        <v>14</v>
      </c>
    </row>
    <row r="7" spans="1:10" x14ac:dyDescent="0.25">
      <c r="A7" t="s">
        <v>15</v>
      </c>
      <c r="B7" t="s">
        <v>10</v>
      </c>
      <c r="C7" t="s">
        <v>11</v>
      </c>
      <c r="D7">
        <v>238615</v>
      </c>
      <c r="E7" s="1">
        <v>45981</v>
      </c>
      <c r="F7">
        <f t="shared" si="0"/>
        <v>2025</v>
      </c>
      <c r="G7" t="s">
        <v>12</v>
      </c>
      <c r="H7" t="s">
        <v>13</v>
      </c>
      <c r="I7" t="s">
        <v>14</v>
      </c>
    </row>
    <row r="8" spans="1:10" x14ac:dyDescent="0.25">
      <c r="A8" t="s">
        <v>16</v>
      </c>
      <c r="B8" t="s">
        <v>10</v>
      </c>
      <c r="C8" t="s">
        <v>17</v>
      </c>
      <c r="D8">
        <v>2238</v>
      </c>
      <c r="E8" s="1">
        <v>45975</v>
      </c>
      <c r="F8">
        <f t="shared" si="0"/>
        <v>2025</v>
      </c>
      <c r="G8" t="s">
        <v>12</v>
      </c>
      <c r="H8" t="s">
        <v>18</v>
      </c>
      <c r="I8" t="s">
        <v>19</v>
      </c>
    </row>
    <row r="9" spans="1:10" x14ac:dyDescent="0.25">
      <c r="A9" t="s">
        <v>20</v>
      </c>
      <c r="B9" t="s">
        <v>10</v>
      </c>
      <c r="C9" t="s">
        <v>17</v>
      </c>
      <c r="D9">
        <v>10182</v>
      </c>
      <c r="E9" s="1">
        <v>45970</v>
      </c>
      <c r="F9">
        <f t="shared" si="0"/>
        <v>2025</v>
      </c>
      <c r="G9" t="s">
        <v>12</v>
      </c>
      <c r="H9" t="s">
        <v>13</v>
      </c>
      <c r="I9" t="s">
        <v>19</v>
      </c>
    </row>
    <row r="10" spans="1:10" x14ac:dyDescent="0.25">
      <c r="A10" t="s">
        <v>21</v>
      </c>
      <c r="B10" t="s">
        <v>10</v>
      </c>
      <c r="C10" t="s">
        <v>11</v>
      </c>
      <c r="D10">
        <v>1643</v>
      </c>
      <c r="E10" s="1">
        <v>45930</v>
      </c>
      <c r="F10">
        <f t="shared" si="0"/>
        <v>2025</v>
      </c>
      <c r="G10" t="s">
        <v>22</v>
      </c>
      <c r="H10" t="s">
        <v>13</v>
      </c>
      <c r="I10" t="s">
        <v>14</v>
      </c>
    </row>
    <row r="11" spans="1:10" x14ac:dyDescent="0.25">
      <c r="A11" t="s">
        <v>23</v>
      </c>
      <c r="B11" t="s">
        <v>10</v>
      </c>
      <c r="C11" t="s">
        <v>11</v>
      </c>
      <c r="D11">
        <v>25341</v>
      </c>
      <c r="E11" s="1">
        <v>45929</v>
      </c>
      <c r="F11">
        <f t="shared" si="0"/>
        <v>2025</v>
      </c>
      <c r="G11" t="s">
        <v>12</v>
      </c>
      <c r="H11" t="s">
        <v>18</v>
      </c>
      <c r="I11" t="s">
        <v>14</v>
      </c>
    </row>
    <row r="12" spans="1:10" x14ac:dyDescent="0.25">
      <c r="A12" t="s">
        <v>24</v>
      </c>
      <c r="B12" t="s">
        <v>10</v>
      </c>
      <c r="C12" t="s">
        <v>17</v>
      </c>
      <c r="D12">
        <v>14581</v>
      </c>
      <c r="E12" s="1">
        <v>45929</v>
      </c>
      <c r="F12">
        <f t="shared" si="0"/>
        <v>2025</v>
      </c>
      <c r="G12" t="s">
        <v>12</v>
      </c>
      <c r="H12" t="s">
        <v>25</v>
      </c>
      <c r="I12" t="s">
        <v>19</v>
      </c>
    </row>
    <row r="13" spans="1:10" x14ac:dyDescent="0.25">
      <c r="A13" t="s">
        <v>26</v>
      </c>
      <c r="B13" t="s">
        <v>10</v>
      </c>
      <c r="C13" t="s">
        <v>17</v>
      </c>
      <c r="D13">
        <v>2974</v>
      </c>
      <c r="E13" s="1">
        <v>45898</v>
      </c>
      <c r="F13">
        <f t="shared" si="0"/>
        <v>2025</v>
      </c>
      <c r="G13" t="s">
        <v>12</v>
      </c>
      <c r="H13" t="s">
        <v>18</v>
      </c>
      <c r="I13" t="s">
        <v>19</v>
      </c>
    </row>
    <row r="14" spans="1:10" x14ac:dyDescent="0.25">
      <c r="A14" t="s">
        <v>27</v>
      </c>
      <c r="B14" t="s">
        <v>10</v>
      </c>
      <c r="C14" t="s">
        <v>17</v>
      </c>
      <c r="D14">
        <v>9742</v>
      </c>
      <c r="E14" s="1">
        <v>45894</v>
      </c>
      <c r="F14">
        <f t="shared" si="0"/>
        <v>2025</v>
      </c>
      <c r="G14" t="s">
        <v>12</v>
      </c>
      <c r="H14" t="s">
        <v>13</v>
      </c>
      <c r="I14" t="s">
        <v>19</v>
      </c>
    </row>
    <row r="15" spans="1:10" x14ac:dyDescent="0.25">
      <c r="A15" t="s">
        <v>28</v>
      </c>
      <c r="B15" t="s">
        <v>10</v>
      </c>
      <c r="C15" t="s">
        <v>17</v>
      </c>
      <c r="D15">
        <v>5736</v>
      </c>
      <c r="E15" s="1">
        <v>45894</v>
      </c>
      <c r="F15">
        <f t="shared" si="0"/>
        <v>2025</v>
      </c>
      <c r="G15" t="s">
        <v>12</v>
      </c>
      <c r="H15" t="s">
        <v>13</v>
      </c>
      <c r="I15" t="s">
        <v>19</v>
      </c>
    </row>
    <row r="16" spans="1:10" x14ac:dyDescent="0.25">
      <c r="A16" t="s">
        <v>29</v>
      </c>
      <c r="B16" t="s">
        <v>10</v>
      </c>
      <c r="C16" t="s">
        <v>30</v>
      </c>
      <c r="D16">
        <v>637</v>
      </c>
      <c r="E16" s="1">
        <v>45891</v>
      </c>
      <c r="F16">
        <f t="shared" si="0"/>
        <v>2025</v>
      </c>
      <c r="G16" t="s">
        <v>22</v>
      </c>
      <c r="H16" t="s">
        <v>31</v>
      </c>
      <c r="I16" t="s">
        <v>19</v>
      </c>
    </row>
    <row r="17" spans="1:9" x14ac:dyDescent="0.25">
      <c r="A17" t="s">
        <v>32</v>
      </c>
      <c r="B17" t="s">
        <v>10</v>
      </c>
      <c r="C17" t="s">
        <v>11</v>
      </c>
      <c r="D17">
        <v>501</v>
      </c>
      <c r="E17" s="1">
        <v>45887</v>
      </c>
      <c r="F17">
        <f t="shared" si="0"/>
        <v>2025</v>
      </c>
      <c r="G17" t="s">
        <v>12</v>
      </c>
      <c r="H17" t="s">
        <v>13</v>
      </c>
      <c r="I17" t="s">
        <v>14</v>
      </c>
    </row>
    <row r="18" spans="1:9" x14ac:dyDescent="0.25">
      <c r="A18" t="s">
        <v>33</v>
      </c>
      <c r="B18" t="s">
        <v>10</v>
      </c>
      <c r="C18" t="s">
        <v>17</v>
      </c>
      <c r="D18">
        <v>3343</v>
      </c>
      <c r="E18" s="1">
        <v>45877</v>
      </c>
      <c r="F18">
        <f t="shared" si="0"/>
        <v>2025</v>
      </c>
      <c r="G18" t="s">
        <v>12</v>
      </c>
      <c r="H18" t="s">
        <v>18</v>
      </c>
      <c r="I18" t="s">
        <v>19</v>
      </c>
    </row>
    <row r="19" spans="1:9" x14ac:dyDescent="0.25">
      <c r="A19" t="s">
        <v>34</v>
      </c>
      <c r="B19" t="s">
        <v>10</v>
      </c>
      <c r="C19" t="s">
        <v>11</v>
      </c>
      <c r="D19">
        <v>22586</v>
      </c>
      <c r="E19" s="1">
        <v>45873</v>
      </c>
      <c r="F19">
        <f t="shared" si="0"/>
        <v>2025</v>
      </c>
      <c r="G19" t="s">
        <v>12</v>
      </c>
      <c r="H19" t="s">
        <v>13</v>
      </c>
      <c r="I19" t="s">
        <v>14</v>
      </c>
    </row>
    <row r="20" spans="1:9" x14ac:dyDescent="0.25">
      <c r="A20" t="s">
        <v>35</v>
      </c>
      <c r="B20" t="s">
        <v>10</v>
      </c>
      <c r="C20" t="s">
        <v>17</v>
      </c>
      <c r="D20">
        <v>31742</v>
      </c>
      <c r="E20" s="1">
        <v>45859</v>
      </c>
      <c r="F20">
        <f t="shared" si="0"/>
        <v>2025</v>
      </c>
      <c r="G20" t="s">
        <v>12</v>
      </c>
      <c r="H20" t="s">
        <v>13</v>
      </c>
      <c r="I20" t="s">
        <v>19</v>
      </c>
    </row>
    <row r="21" spans="1:9" x14ac:dyDescent="0.25">
      <c r="A21" t="s">
        <v>36</v>
      </c>
      <c r="B21" t="s">
        <v>10</v>
      </c>
      <c r="C21" t="s">
        <v>17</v>
      </c>
      <c r="D21">
        <v>501</v>
      </c>
      <c r="E21" s="1">
        <v>45856</v>
      </c>
      <c r="F21">
        <f t="shared" si="0"/>
        <v>2025</v>
      </c>
      <c r="G21" t="s">
        <v>12</v>
      </c>
      <c r="H21" t="s">
        <v>18</v>
      </c>
      <c r="I21" t="s">
        <v>19</v>
      </c>
    </row>
    <row r="22" spans="1:9" x14ac:dyDescent="0.25">
      <c r="A22" t="s">
        <v>37</v>
      </c>
      <c r="B22" t="s">
        <v>10</v>
      </c>
      <c r="C22" t="s">
        <v>11</v>
      </c>
      <c r="D22">
        <v>771</v>
      </c>
      <c r="E22" s="1">
        <v>45820</v>
      </c>
      <c r="F22">
        <f t="shared" si="0"/>
        <v>2025</v>
      </c>
      <c r="G22" t="s">
        <v>12</v>
      </c>
      <c r="H22" t="s">
        <v>13</v>
      </c>
      <c r="I22" t="s">
        <v>14</v>
      </c>
    </row>
    <row r="23" spans="1:9" x14ac:dyDescent="0.25">
      <c r="A23" t="s">
        <v>38</v>
      </c>
      <c r="B23" t="s">
        <v>10</v>
      </c>
      <c r="C23" t="s">
        <v>17</v>
      </c>
      <c r="D23">
        <v>5728</v>
      </c>
      <c r="E23" s="1">
        <v>45814</v>
      </c>
      <c r="F23">
        <f t="shared" si="0"/>
        <v>2025</v>
      </c>
      <c r="G23" t="s">
        <v>12</v>
      </c>
      <c r="H23" t="s">
        <v>13</v>
      </c>
      <c r="I23" t="s">
        <v>14</v>
      </c>
    </row>
    <row r="24" spans="1:9" x14ac:dyDescent="0.25">
      <c r="A24" t="s">
        <v>39</v>
      </c>
      <c r="B24" t="s">
        <v>10</v>
      </c>
      <c r="C24" t="s">
        <v>17</v>
      </c>
      <c r="D24">
        <v>2263</v>
      </c>
      <c r="E24" s="1">
        <v>45805</v>
      </c>
      <c r="F24">
        <f t="shared" si="0"/>
        <v>2025</v>
      </c>
      <c r="G24" t="s">
        <v>22</v>
      </c>
      <c r="H24" t="s">
        <v>40</v>
      </c>
      <c r="I24" t="s">
        <v>19</v>
      </c>
    </row>
    <row r="25" spans="1:9" x14ac:dyDescent="0.25">
      <c r="A25" t="s">
        <v>41</v>
      </c>
      <c r="B25" t="s">
        <v>10</v>
      </c>
      <c r="C25" t="s">
        <v>17</v>
      </c>
      <c r="D25">
        <v>1353</v>
      </c>
      <c r="E25" s="1">
        <v>45800</v>
      </c>
      <c r="F25">
        <f t="shared" si="0"/>
        <v>2025</v>
      </c>
      <c r="G25" t="s">
        <v>22</v>
      </c>
      <c r="H25" t="s">
        <v>31</v>
      </c>
      <c r="I25" t="s">
        <v>19</v>
      </c>
    </row>
    <row r="26" spans="1:9" x14ac:dyDescent="0.25">
      <c r="A26" t="s">
        <v>42</v>
      </c>
      <c r="B26" t="s">
        <v>10</v>
      </c>
      <c r="C26" t="s">
        <v>17</v>
      </c>
      <c r="D26">
        <v>6195</v>
      </c>
      <c r="E26" s="1">
        <v>45800</v>
      </c>
      <c r="F26">
        <f t="shared" si="0"/>
        <v>2025</v>
      </c>
      <c r="G26" t="s">
        <v>22</v>
      </c>
      <c r="H26" t="s">
        <v>31</v>
      </c>
      <c r="I26" t="s">
        <v>19</v>
      </c>
    </row>
    <row r="27" spans="1:9" x14ac:dyDescent="0.25">
      <c r="A27" t="s">
        <v>43</v>
      </c>
      <c r="B27" t="s">
        <v>10</v>
      </c>
      <c r="C27" t="s">
        <v>17</v>
      </c>
      <c r="D27">
        <v>13332</v>
      </c>
      <c r="E27" s="1">
        <v>45800</v>
      </c>
      <c r="F27">
        <f t="shared" si="0"/>
        <v>2025</v>
      </c>
      <c r="G27" t="s">
        <v>22</v>
      </c>
      <c r="H27" t="s">
        <v>31</v>
      </c>
      <c r="I27" t="s">
        <v>19</v>
      </c>
    </row>
    <row r="28" spans="1:9" x14ac:dyDescent="0.25">
      <c r="A28" t="s">
        <v>44</v>
      </c>
      <c r="B28" t="s">
        <v>10</v>
      </c>
      <c r="C28" t="s">
        <v>17</v>
      </c>
      <c r="D28">
        <v>696</v>
      </c>
      <c r="E28" s="1">
        <v>45749</v>
      </c>
      <c r="F28">
        <f t="shared" si="0"/>
        <v>2025</v>
      </c>
      <c r="G28" t="s">
        <v>12</v>
      </c>
      <c r="H28" t="s">
        <v>18</v>
      </c>
      <c r="I28" t="s">
        <v>19</v>
      </c>
    </row>
    <row r="29" spans="1:9" x14ac:dyDescent="0.25">
      <c r="A29" t="s">
        <v>45</v>
      </c>
      <c r="B29" t="s">
        <v>10</v>
      </c>
      <c r="C29" t="s">
        <v>17</v>
      </c>
      <c r="D29">
        <v>103711</v>
      </c>
      <c r="E29" s="1">
        <v>45720</v>
      </c>
      <c r="F29">
        <f t="shared" si="0"/>
        <v>2025</v>
      </c>
      <c r="G29" t="s">
        <v>12</v>
      </c>
      <c r="H29" t="s">
        <v>13</v>
      </c>
      <c r="I29" t="s">
        <v>19</v>
      </c>
    </row>
    <row r="30" spans="1:9" x14ac:dyDescent="0.25">
      <c r="A30" t="s">
        <v>46</v>
      </c>
      <c r="B30" t="s">
        <v>10</v>
      </c>
      <c r="C30" t="s">
        <v>11</v>
      </c>
      <c r="D30">
        <v>19069</v>
      </c>
      <c r="E30" s="1">
        <v>45702</v>
      </c>
      <c r="F30">
        <f t="shared" si="0"/>
        <v>2025</v>
      </c>
      <c r="G30" t="s">
        <v>12</v>
      </c>
      <c r="H30" t="s">
        <v>18</v>
      </c>
      <c r="I30" t="s">
        <v>14</v>
      </c>
    </row>
    <row r="31" spans="1:9" x14ac:dyDescent="0.25">
      <c r="A31" t="s">
        <v>47</v>
      </c>
      <c r="B31" t="s">
        <v>10</v>
      </c>
      <c r="C31" t="s">
        <v>17</v>
      </c>
      <c r="D31">
        <v>138080</v>
      </c>
      <c r="E31" s="1">
        <v>45678</v>
      </c>
      <c r="F31">
        <f t="shared" si="0"/>
        <v>2025</v>
      </c>
      <c r="G31" t="s">
        <v>12</v>
      </c>
      <c r="H31" t="s">
        <v>13</v>
      </c>
      <c r="I31" t="s">
        <v>19</v>
      </c>
    </row>
    <row r="32" spans="1:9" x14ac:dyDescent="0.25">
      <c r="A32" t="s">
        <v>48</v>
      </c>
      <c r="B32" t="s">
        <v>10</v>
      </c>
      <c r="C32" t="s">
        <v>17</v>
      </c>
      <c r="D32">
        <v>64000</v>
      </c>
      <c r="E32" s="1">
        <v>45661</v>
      </c>
      <c r="F32">
        <f t="shared" si="0"/>
        <v>2025</v>
      </c>
      <c r="G32" t="s">
        <v>12</v>
      </c>
      <c r="H32" t="s">
        <v>13</v>
      </c>
      <c r="I32" t="s">
        <v>19</v>
      </c>
    </row>
    <row r="33" spans="1:9" x14ac:dyDescent="0.25">
      <c r="A33" t="s">
        <v>49</v>
      </c>
      <c r="B33" t="s">
        <v>10</v>
      </c>
      <c r="C33" t="s">
        <v>17</v>
      </c>
      <c r="D33">
        <v>674033</v>
      </c>
      <c r="E33" s="1">
        <v>45645</v>
      </c>
      <c r="F33">
        <f t="shared" si="0"/>
        <v>2024</v>
      </c>
      <c r="G33" t="s">
        <v>12</v>
      </c>
      <c r="H33" t="s">
        <v>13</v>
      </c>
      <c r="I33" t="s">
        <v>19</v>
      </c>
    </row>
    <row r="34" spans="1:9" x14ac:dyDescent="0.25">
      <c r="A34" t="s">
        <v>50</v>
      </c>
      <c r="B34" t="s">
        <v>10</v>
      </c>
      <c r="C34" t="s">
        <v>17</v>
      </c>
      <c r="D34">
        <v>501</v>
      </c>
      <c r="E34" s="1">
        <v>45611</v>
      </c>
      <c r="F34">
        <f t="shared" si="0"/>
        <v>2024</v>
      </c>
      <c r="G34" t="s">
        <v>12</v>
      </c>
      <c r="H34" t="s">
        <v>13</v>
      </c>
      <c r="I34" t="s">
        <v>19</v>
      </c>
    </row>
    <row r="35" spans="1:9" x14ac:dyDescent="0.25">
      <c r="A35" t="s">
        <v>51</v>
      </c>
      <c r="B35" t="s">
        <v>10</v>
      </c>
      <c r="C35" t="s">
        <v>17</v>
      </c>
      <c r="D35">
        <v>4973</v>
      </c>
      <c r="E35" s="1">
        <v>45600</v>
      </c>
      <c r="F35">
        <f t="shared" si="0"/>
        <v>2024</v>
      </c>
      <c r="G35" t="s">
        <v>22</v>
      </c>
      <c r="H35" t="s">
        <v>31</v>
      </c>
      <c r="I35" t="s">
        <v>19</v>
      </c>
    </row>
    <row r="36" spans="1:9" x14ac:dyDescent="0.25">
      <c r="A36" t="s">
        <v>52</v>
      </c>
      <c r="B36" t="s">
        <v>10</v>
      </c>
      <c r="C36" t="s">
        <v>17</v>
      </c>
      <c r="D36">
        <v>56000</v>
      </c>
      <c r="E36" s="1">
        <v>45583</v>
      </c>
      <c r="F36">
        <f t="shared" si="0"/>
        <v>2024</v>
      </c>
      <c r="G36" t="s">
        <v>12</v>
      </c>
      <c r="H36" t="s">
        <v>13</v>
      </c>
      <c r="I36" t="s">
        <v>19</v>
      </c>
    </row>
    <row r="37" spans="1:9" x14ac:dyDescent="0.25">
      <c r="A37" t="s">
        <v>53</v>
      </c>
      <c r="B37" t="s">
        <v>10</v>
      </c>
      <c r="C37" t="s">
        <v>11</v>
      </c>
      <c r="D37">
        <v>909469</v>
      </c>
      <c r="E37" s="1">
        <v>45569</v>
      </c>
      <c r="F37">
        <f t="shared" si="0"/>
        <v>2024</v>
      </c>
      <c r="G37" t="s">
        <v>12</v>
      </c>
      <c r="H37" t="s">
        <v>13</v>
      </c>
      <c r="I37" t="s">
        <v>14</v>
      </c>
    </row>
    <row r="38" spans="1:9" x14ac:dyDescent="0.25">
      <c r="A38" t="s">
        <v>54</v>
      </c>
      <c r="B38" t="s">
        <v>10</v>
      </c>
      <c r="C38" t="s">
        <v>17</v>
      </c>
      <c r="D38">
        <v>292913</v>
      </c>
      <c r="E38" s="1">
        <v>45525</v>
      </c>
      <c r="F38">
        <f t="shared" si="0"/>
        <v>2024</v>
      </c>
      <c r="G38" t="s">
        <v>12</v>
      </c>
      <c r="H38" t="s">
        <v>13</v>
      </c>
      <c r="I38" t="s">
        <v>19</v>
      </c>
    </row>
    <row r="39" spans="1:9" x14ac:dyDescent="0.25">
      <c r="A39" t="s">
        <v>55</v>
      </c>
      <c r="B39" t="s">
        <v>10</v>
      </c>
      <c r="C39" t="s">
        <v>17</v>
      </c>
      <c r="D39">
        <v>52372</v>
      </c>
      <c r="E39" s="1">
        <v>45513</v>
      </c>
      <c r="F39">
        <f t="shared" si="0"/>
        <v>2024</v>
      </c>
      <c r="G39" t="s">
        <v>12</v>
      </c>
      <c r="H39" t="s">
        <v>13</v>
      </c>
      <c r="I39" t="s">
        <v>19</v>
      </c>
    </row>
    <row r="40" spans="1:9" x14ac:dyDescent="0.25">
      <c r="A40" t="s">
        <v>56</v>
      </c>
      <c r="B40" t="s">
        <v>10</v>
      </c>
      <c r="C40" t="s">
        <v>11</v>
      </c>
      <c r="D40">
        <v>284326</v>
      </c>
      <c r="E40" s="1">
        <v>45372</v>
      </c>
      <c r="F40">
        <f t="shared" si="0"/>
        <v>2024</v>
      </c>
      <c r="G40" t="s">
        <v>12</v>
      </c>
      <c r="H40" t="s">
        <v>13</v>
      </c>
      <c r="I40" t="s">
        <v>14</v>
      </c>
    </row>
    <row r="41" spans="1:9" x14ac:dyDescent="0.25">
      <c r="A41" t="s">
        <v>57</v>
      </c>
      <c r="B41" t="s">
        <v>10</v>
      </c>
      <c r="C41" t="s">
        <v>17</v>
      </c>
      <c r="D41">
        <v>3000</v>
      </c>
      <c r="E41" s="1">
        <v>45364</v>
      </c>
      <c r="F41">
        <f t="shared" si="0"/>
        <v>2024</v>
      </c>
      <c r="G41" t="s">
        <v>12</v>
      </c>
      <c r="H41" t="s">
        <v>13</v>
      </c>
      <c r="I41" t="s">
        <v>19</v>
      </c>
    </row>
    <row r="42" spans="1:9" x14ac:dyDescent="0.25">
      <c r="A42" t="s">
        <v>58</v>
      </c>
      <c r="B42" t="s">
        <v>10</v>
      </c>
      <c r="C42" t="s">
        <v>11</v>
      </c>
      <c r="D42">
        <v>95797</v>
      </c>
      <c r="E42" s="1">
        <v>45345</v>
      </c>
      <c r="F42">
        <f t="shared" si="0"/>
        <v>2024</v>
      </c>
      <c r="G42" t="s">
        <v>12</v>
      </c>
      <c r="H42" t="s">
        <v>13</v>
      </c>
      <c r="I42" t="s">
        <v>14</v>
      </c>
    </row>
    <row r="43" spans="1:9" x14ac:dyDescent="0.25">
      <c r="E43" s="1"/>
    </row>
    <row r="44" spans="1:9" x14ac:dyDescent="0.25">
      <c r="E44" s="1"/>
    </row>
    <row r="45" spans="1:9" x14ac:dyDescent="0.25">
      <c r="E4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7292-9717-4006-9F07-C45FF35E3A43}">
  <dimension ref="A1:B8"/>
  <sheetViews>
    <sheetView workbookViewId="0">
      <selection activeCell="C10" sqref="C10"/>
    </sheetView>
  </sheetViews>
  <sheetFormatPr defaultRowHeight="15" x14ac:dyDescent="0.25"/>
  <cols>
    <col min="1" max="1" width="34" bestFit="1" customWidth="1"/>
    <col min="2" max="2" width="20.42578125" bestFit="1" customWidth="1"/>
  </cols>
  <sheetData>
    <row r="1" spans="1:2" x14ac:dyDescent="0.25">
      <c r="A1" s="2" t="s">
        <v>71</v>
      </c>
      <c r="B1" t="s">
        <v>73</v>
      </c>
    </row>
    <row r="2" spans="1:2" x14ac:dyDescent="0.25">
      <c r="A2" s="3">
        <v>2024</v>
      </c>
      <c r="B2">
        <v>10</v>
      </c>
    </row>
    <row r="3" spans="1:2" x14ac:dyDescent="0.25">
      <c r="A3" s="4" t="s">
        <v>12</v>
      </c>
      <c r="B3">
        <v>9</v>
      </c>
    </row>
    <row r="4" spans="1:2" x14ac:dyDescent="0.25">
      <c r="A4" s="4" t="s">
        <v>22</v>
      </c>
      <c r="B4">
        <v>1</v>
      </c>
    </row>
    <row r="5" spans="1:2" x14ac:dyDescent="0.25">
      <c r="A5" s="3">
        <v>2025</v>
      </c>
      <c r="B5">
        <v>31</v>
      </c>
    </row>
    <row r="6" spans="1:2" x14ac:dyDescent="0.25">
      <c r="A6" s="4" t="s">
        <v>12</v>
      </c>
      <c r="B6">
        <v>25</v>
      </c>
    </row>
    <row r="7" spans="1:2" x14ac:dyDescent="0.25">
      <c r="A7" s="4" t="s">
        <v>22</v>
      </c>
      <c r="B7">
        <v>6</v>
      </c>
    </row>
    <row r="8" spans="1:2" x14ac:dyDescent="0.25">
      <c r="A8" s="3" t="s">
        <v>72</v>
      </c>
      <c r="B8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1CB9-75E5-41C1-AC4D-3E18FE3C8B53}">
  <dimension ref="A1"/>
  <sheetViews>
    <sheetView workbookViewId="0">
      <selection activeCell="I4" sqref="I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404E-D77D-47B7-8FAD-FFE794F644E2}">
  <dimension ref="A1:A3"/>
  <sheetViews>
    <sheetView workbookViewId="0">
      <selection sqref="A1:A1048576"/>
    </sheetView>
  </sheetViews>
  <sheetFormatPr defaultRowHeight="15" x14ac:dyDescent="0.25"/>
  <cols>
    <col min="1" max="1" width="73.28515625" customWidth="1"/>
  </cols>
  <sheetData>
    <row r="1" spans="1:1" ht="17.25" x14ac:dyDescent="0.3">
      <c r="A1" s="6" t="s">
        <v>74</v>
      </c>
    </row>
    <row r="2" spans="1:1" ht="120" x14ac:dyDescent="0.25">
      <c r="A2" s="5" t="s">
        <v>75</v>
      </c>
    </row>
    <row r="3" spans="1:1" x14ac:dyDescent="0.25">
      <c r="A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Anaylsis</vt:lpstr>
      <vt:lpstr>Visuals</vt:lpstr>
      <vt:lpstr>Insights_Summary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Lidiya Vasilievna</dc:creator>
  <cp:lastModifiedBy>Lidiya Vasilievna</cp:lastModifiedBy>
  <dcterms:created xsi:type="dcterms:W3CDTF">2026-01-27T18:27:31Z</dcterms:created>
  <dcterms:modified xsi:type="dcterms:W3CDTF">2026-01-28T02:41:19Z</dcterms:modified>
</cp:coreProperties>
</file>